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<sst xmlns="http://schemas.openxmlformats.org/spreadsheetml/2006/main" count="88" uniqueCount="88">
  <si>
    <t>ID</t>
  </si>
  <si>
    <t>Knum</t>
  </si>
  <si>
    <t>Group(ASD=0,TD=1)</t>
  </si>
  <si>
    <t>sex(M=0,F=1)</t>
  </si>
  <si>
    <t>AGE</t>
  </si>
  <si>
    <t>IQ</t>
  </si>
  <si>
    <t>ADI_R_SOCIAL_TOTAL_A</t>
  </si>
  <si>
    <t>ADI_R_VERBAL_TOTAL_BV</t>
  </si>
  <si>
    <t>ADI_RRB_TOTAL_C</t>
  </si>
  <si>
    <t>ADI_R_ONSET_TOTAL_D</t>
  </si>
  <si>
    <t>ADOS社交</t>
  </si>
  <si>
    <t>ADOS语言</t>
  </si>
  <si>
    <t>ADOS社会交流</t>
  </si>
  <si>
    <t>ADOS刻板兴趣</t>
  </si>
  <si>
    <t>ADOS刻板行为</t>
  </si>
  <si>
    <t>ADO刻板兴趣与行为</t>
  </si>
  <si>
    <t>CARS</t>
  </si>
  <si>
    <t>GEM-total</t>
  </si>
  <si>
    <t>GEM-cognitive</t>
  </si>
  <si>
    <t>GEM-affective</t>
  </si>
  <si>
    <t>291030725B</t>
  </si>
  <si>
    <t>K287</t>
  </si>
  <si>
    <t>296040217B</t>
  </si>
  <si>
    <t>K293</t>
  </si>
  <si>
    <t>298051004B</t>
  </si>
  <si>
    <t>K294</t>
  </si>
  <si>
    <t>294030107B</t>
  </si>
  <si>
    <t>K297</t>
  </si>
  <si>
    <t>301070101B</t>
  </si>
  <si>
    <t>K300</t>
  </si>
  <si>
    <t>302040722B</t>
  </si>
  <si>
    <t>K303</t>
  </si>
  <si>
    <t>328030829B</t>
  </si>
  <si>
    <t>K323</t>
  </si>
  <si>
    <t>332040205B</t>
  </si>
  <si>
    <t>K329</t>
  </si>
  <si>
    <t>338070712B</t>
  </si>
  <si>
    <t>K345</t>
  </si>
  <si>
    <t>351070221B</t>
  </si>
  <si>
    <t>K358</t>
  </si>
  <si>
    <t>352041009B</t>
  </si>
  <si>
    <t>K359</t>
  </si>
  <si>
    <t>354040324B</t>
  </si>
  <si>
    <t>K364</t>
  </si>
  <si>
    <t>367080627B</t>
  </si>
  <si>
    <t>K374</t>
  </si>
  <si>
    <t>366070727B</t>
  </si>
  <si>
    <t>K375</t>
  </si>
  <si>
    <t>372040227B</t>
  </si>
  <si>
    <t>K382</t>
  </si>
  <si>
    <t>376080828B</t>
  </si>
  <si>
    <t>K386</t>
  </si>
  <si>
    <t>384030806B</t>
  </si>
  <si>
    <t>K390</t>
  </si>
  <si>
    <t>385040903B</t>
  </si>
  <si>
    <t>k394</t>
  </si>
  <si>
    <t>397071106B</t>
  </si>
  <si>
    <t>K404</t>
  </si>
  <si>
    <t>399000814B</t>
  </si>
  <si>
    <t>K405</t>
  </si>
  <si>
    <t>399070403B</t>
  </si>
  <si>
    <t>K407</t>
  </si>
  <si>
    <t>393040603B</t>
  </si>
  <si>
    <t>K410</t>
  </si>
  <si>
    <t>409080531B</t>
  </si>
  <si>
    <t>K415</t>
  </si>
  <si>
    <t>419001008B</t>
  </si>
  <si>
    <t>K424</t>
  </si>
  <si>
    <t>421090507B</t>
  </si>
  <si>
    <t>K440</t>
  </si>
  <si>
    <t>426080731B</t>
  </si>
  <si>
    <t>K446</t>
  </si>
  <si>
    <t>439021015B</t>
  </si>
  <si>
    <t>K459</t>
  </si>
  <si>
    <t>454090917B</t>
  </si>
  <si>
    <t>k471</t>
  </si>
  <si>
    <t>458040330B</t>
  </si>
  <si>
    <t>k474</t>
  </si>
  <si>
    <t>460090809B</t>
  </si>
  <si>
    <t>K476</t>
  </si>
  <si>
    <t>455021105B</t>
  </si>
  <si>
    <t>K477</t>
  </si>
  <si>
    <t>461080103B</t>
  </si>
  <si>
    <t>k479</t>
  </si>
  <si>
    <t>463090821B</t>
  </si>
  <si>
    <t>k480</t>
  </si>
  <si>
    <t>466090618B</t>
  </si>
  <si>
    <t>K485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</si>
</sst>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0" fontId="0" fillId="2" borderId="1" xfId="0" applyFill="1" applyBorder="1" applyAlignment="1"/>
    <xf numFmtId="0" fontId="0" fillId="0" borderId="1" xfId="0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5"/>
  <sheetViews>
    <sheetView tabSelected="1" workbookViewId="0">
      <selection activeCell="E1" sqref="E$1:E$1048576"/>
    </sheetView>
  </sheetViews>
  <sheetFormatPr defaultColWidth="9.23076923076923" defaultRowHeight="16.8"/>
  <cols>
    <col min="3" max="3" width="13.2980769230769" customWidth="1"/>
  </cols>
  <sheetData>
    <row r="1" s="1" customForma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="1" customFormat="1" spans="1:20">
      <c r="A2" s="1" t="s">
        <v>20</v>
      </c>
      <c r="B2" s="1" t="s">
        <v>21</v>
      </c>
      <c r="C2" s="1">
        <v>0</v>
      </c>
      <c r="D2" s="1">
        <v>0</v>
      </c>
      <c r="E2" s="1">
        <v>10.42</v>
      </c>
      <c r="F2" s="1">
        <v>107</v>
      </c>
      <c r="G2" s="1">
        <v>19</v>
      </c>
      <c r="H2" s="1">
        <v>11</v>
      </c>
      <c r="I2" s="1">
        <v>6</v>
      </c>
      <c r="J2" s="1">
        <f>G2+H2+I2</f>
        <v>36</v>
      </c>
      <c r="K2" s="1">
        <v>4</v>
      </c>
      <c r="L2" s="1">
        <v>10</v>
      </c>
      <c r="M2" s="1">
        <v>14</v>
      </c>
      <c r="N2" s="1">
        <v>1</v>
      </c>
      <c r="O2" s="1">
        <v>4</v>
      </c>
      <c r="P2" s="1">
        <f>N2+O2</f>
        <v>5</v>
      </c>
      <c r="Q2" s="1">
        <v>35</v>
      </c>
      <c r="R2" s="1">
        <v>5</v>
      </c>
      <c r="S2" s="1">
        <v>3</v>
      </c>
      <c r="T2" s="1">
        <v>6</v>
      </c>
    </row>
    <row r="3" s="1" customFormat="1" spans="1:20">
      <c r="A3" s="1" t="s">
        <v>22</v>
      </c>
      <c r="B3" s="1" t="s">
        <v>23</v>
      </c>
      <c r="C3" s="1">
        <v>0</v>
      </c>
      <c r="D3" s="1">
        <v>0</v>
      </c>
      <c r="E3" s="1">
        <v>9.92</v>
      </c>
      <c r="F3" s="1">
        <v>116</v>
      </c>
      <c r="G3" s="1">
        <v>22</v>
      </c>
      <c r="H3" s="1">
        <v>20</v>
      </c>
      <c r="I3" s="1">
        <v>1</v>
      </c>
      <c r="J3" s="1">
        <f>G3+H3+I3</f>
        <v>43</v>
      </c>
      <c r="K3" s="1">
        <v>6</v>
      </c>
      <c r="L3" s="1">
        <v>8</v>
      </c>
      <c r="M3" s="1">
        <v>14</v>
      </c>
      <c r="N3" s="1">
        <v>1</v>
      </c>
      <c r="O3" s="1">
        <v>1</v>
      </c>
      <c r="P3" s="1">
        <f>N3+O3</f>
        <v>2</v>
      </c>
      <c r="Q3" s="1">
        <v>28</v>
      </c>
      <c r="R3" s="1">
        <v>3</v>
      </c>
      <c r="S3" s="1">
        <v>-10</v>
      </c>
      <c r="T3" s="1">
        <v>10</v>
      </c>
    </row>
    <row r="4" s="1" customFormat="1" spans="1:20">
      <c r="A4" s="1" t="s">
        <v>24</v>
      </c>
      <c r="B4" s="1" t="s">
        <v>25</v>
      </c>
      <c r="C4" s="1">
        <v>0</v>
      </c>
      <c r="D4" s="1">
        <v>0</v>
      </c>
      <c r="E4" s="1">
        <v>8.25</v>
      </c>
      <c r="F4" s="1">
        <v>92</v>
      </c>
      <c r="G4" s="1">
        <v>5</v>
      </c>
      <c r="H4" s="1">
        <v>3</v>
      </c>
      <c r="I4" s="1">
        <v>2</v>
      </c>
      <c r="J4" s="1">
        <f>G4+H4+I4</f>
        <v>10</v>
      </c>
      <c r="K4" s="1">
        <v>2</v>
      </c>
      <c r="L4" s="1">
        <v>5</v>
      </c>
      <c r="M4" s="1">
        <v>7</v>
      </c>
      <c r="N4" s="1">
        <v>1</v>
      </c>
      <c r="O4" s="1">
        <v>1</v>
      </c>
      <c r="P4" s="1">
        <f>N4+O4</f>
        <v>2</v>
      </c>
      <c r="Q4" s="1">
        <v>31</v>
      </c>
      <c r="R4" s="1">
        <v>-11</v>
      </c>
      <c r="S4" s="1">
        <v>-12</v>
      </c>
      <c r="T4" s="1">
        <v>-2</v>
      </c>
    </row>
    <row r="5" s="1" customFormat="1" spans="1:20">
      <c r="A5" s="1" t="s">
        <v>26</v>
      </c>
      <c r="B5" s="1" t="s">
        <v>27</v>
      </c>
      <c r="C5" s="1">
        <v>0</v>
      </c>
      <c r="D5" s="1">
        <v>0</v>
      </c>
      <c r="E5" s="1">
        <v>11</v>
      </c>
      <c r="F5" s="1">
        <v>129</v>
      </c>
      <c r="G5" s="1">
        <v>1</v>
      </c>
      <c r="H5" s="1">
        <v>0</v>
      </c>
      <c r="I5" s="1">
        <v>6</v>
      </c>
      <c r="J5" s="1">
        <f>G5+H5+I5</f>
        <v>7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f>N5+O5</f>
        <v>0</v>
      </c>
      <c r="Q5" s="1">
        <v>30</v>
      </c>
      <c r="R5" s="1">
        <v>28</v>
      </c>
      <c r="S5" s="1">
        <v>25</v>
      </c>
      <c r="T5" s="1">
        <v>11</v>
      </c>
    </row>
    <row r="6" s="1" customFormat="1" spans="1:20">
      <c r="A6" s="1" t="s">
        <v>28</v>
      </c>
      <c r="B6" s="1" t="s">
        <v>29</v>
      </c>
      <c r="C6" s="1">
        <v>0</v>
      </c>
      <c r="D6" s="1">
        <v>0</v>
      </c>
      <c r="E6" s="1">
        <v>7</v>
      </c>
      <c r="F6" s="1">
        <v>88</v>
      </c>
      <c r="G6" s="1">
        <v>17</v>
      </c>
      <c r="H6" s="1">
        <v>14</v>
      </c>
      <c r="I6" s="1">
        <v>4</v>
      </c>
      <c r="J6" s="1">
        <f>G6+H6+I6</f>
        <v>35</v>
      </c>
      <c r="K6" s="1">
        <v>5</v>
      </c>
      <c r="L6" s="1">
        <v>8</v>
      </c>
      <c r="M6" s="1">
        <v>13</v>
      </c>
      <c r="N6" s="1">
        <v>2</v>
      </c>
      <c r="O6" s="1">
        <v>0</v>
      </c>
      <c r="P6" s="1">
        <f>N6+O6</f>
        <v>2</v>
      </c>
      <c r="Q6" s="1">
        <v>30</v>
      </c>
      <c r="R6" s="1">
        <v>-12</v>
      </c>
      <c r="S6" s="1">
        <v>-19</v>
      </c>
      <c r="T6" s="1">
        <v>0</v>
      </c>
    </row>
    <row r="7" s="1" customFormat="1" spans="1:20">
      <c r="A7" s="1" t="s">
        <v>30</v>
      </c>
      <c r="B7" s="1" t="s">
        <v>31</v>
      </c>
      <c r="C7" s="1">
        <v>0</v>
      </c>
      <c r="D7" s="1">
        <v>0</v>
      </c>
      <c r="E7" s="1">
        <v>9.5</v>
      </c>
      <c r="F7" s="1">
        <v>121</v>
      </c>
      <c r="G7" s="1">
        <v>8</v>
      </c>
      <c r="H7" s="1">
        <v>6</v>
      </c>
      <c r="I7" s="1">
        <v>2</v>
      </c>
      <c r="J7" s="1">
        <f>G7+H7+I7</f>
        <v>16</v>
      </c>
      <c r="K7" s="1">
        <v>3</v>
      </c>
      <c r="L7" s="1">
        <v>6</v>
      </c>
      <c r="M7" s="1">
        <v>9</v>
      </c>
      <c r="N7" s="1">
        <v>1</v>
      </c>
      <c r="O7" s="1">
        <v>2</v>
      </c>
      <c r="P7" s="1">
        <f>N7+O7</f>
        <v>3</v>
      </c>
      <c r="Q7" s="1">
        <v>30</v>
      </c>
      <c r="R7" s="1">
        <v>3</v>
      </c>
      <c r="S7" s="1">
        <v>-4</v>
      </c>
      <c r="T7" s="1">
        <v>8</v>
      </c>
    </row>
    <row r="8" s="1" customFormat="1" spans="1:20">
      <c r="A8" s="1" t="s">
        <v>32</v>
      </c>
      <c r="B8" s="1" t="s">
        <v>33</v>
      </c>
      <c r="C8" s="1">
        <v>0</v>
      </c>
      <c r="D8" s="1">
        <v>0</v>
      </c>
      <c r="E8" s="1">
        <v>11</v>
      </c>
      <c r="F8" s="1">
        <v>136</v>
      </c>
      <c r="G8" s="1">
        <v>9</v>
      </c>
      <c r="H8" s="1">
        <v>6</v>
      </c>
      <c r="I8" s="1">
        <v>0</v>
      </c>
      <c r="J8" s="1">
        <f>G8+H8+I8</f>
        <v>15</v>
      </c>
      <c r="K8" s="1">
        <v>1</v>
      </c>
      <c r="L8" s="1">
        <v>8</v>
      </c>
      <c r="M8" s="1">
        <v>9</v>
      </c>
      <c r="N8" s="1">
        <v>0</v>
      </c>
      <c r="O8" s="1">
        <v>0</v>
      </c>
      <c r="P8" s="1">
        <f>N8+O8</f>
        <v>0</v>
      </c>
      <c r="Q8" s="1">
        <v>20</v>
      </c>
      <c r="R8" s="1">
        <v>12</v>
      </c>
      <c r="S8" s="1">
        <v>1</v>
      </c>
      <c r="T8" s="1">
        <v>18</v>
      </c>
    </row>
    <row r="9" s="1" customFormat="1" spans="1:20">
      <c r="A9" s="1" t="s">
        <v>34</v>
      </c>
      <c r="B9" s="1" t="s">
        <v>35</v>
      </c>
      <c r="C9" s="1">
        <v>0</v>
      </c>
      <c r="D9" s="1">
        <v>0</v>
      </c>
      <c r="E9" s="1">
        <v>10.25</v>
      </c>
      <c r="F9" s="1">
        <v>137</v>
      </c>
      <c r="G9" s="1">
        <v>13</v>
      </c>
      <c r="H9" s="1">
        <v>3</v>
      </c>
      <c r="I9" s="1">
        <v>1</v>
      </c>
      <c r="J9" s="1">
        <f t="shared" ref="J9:J17" si="0">G9+H9+I9</f>
        <v>17</v>
      </c>
      <c r="K9" s="1">
        <v>2</v>
      </c>
      <c r="L9" s="1">
        <v>6</v>
      </c>
      <c r="M9" s="1">
        <v>8</v>
      </c>
      <c r="N9" s="1">
        <v>1</v>
      </c>
      <c r="O9" s="1">
        <v>1</v>
      </c>
      <c r="P9" s="1">
        <f t="shared" ref="P9:P17" si="1">N9+O9</f>
        <v>2</v>
      </c>
      <c r="Q9" s="1">
        <v>25</v>
      </c>
      <c r="R9" s="1">
        <v>0</v>
      </c>
      <c r="S9" s="1">
        <v>0</v>
      </c>
      <c r="T9" s="1">
        <v>0</v>
      </c>
    </row>
    <row r="10" s="1" customFormat="1" spans="1:20">
      <c r="A10" s="1" t="s">
        <v>36</v>
      </c>
      <c r="B10" s="1" t="s">
        <v>37</v>
      </c>
      <c r="C10" s="1">
        <v>0</v>
      </c>
      <c r="D10" s="1">
        <v>0</v>
      </c>
      <c r="E10" s="1">
        <v>6.42</v>
      </c>
      <c r="F10" s="1">
        <v>119</v>
      </c>
      <c r="G10" s="1">
        <v>17</v>
      </c>
      <c r="H10" s="1">
        <v>13</v>
      </c>
      <c r="I10" s="1">
        <v>13</v>
      </c>
      <c r="J10" s="1">
        <f t="shared" si="0"/>
        <v>43</v>
      </c>
      <c r="K10" s="1">
        <v>10</v>
      </c>
      <c r="L10" s="1">
        <v>11</v>
      </c>
      <c r="M10" s="1">
        <v>1</v>
      </c>
      <c r="N10" s="1">
        <v>2</v>
      </c>
      <c r="O10" s="1">
        <v>2</v>
      </c>
      <c r="P10" s="1">
        <f t="shared" si="1"/>
        <v>4</v>
      </c>
      <c r="Q10" s="1">
        <v>35</v>
      </c>
      <c r="R10" s="1">
        <v>0</v>
      </c>
      <c r="S10" s="1">
        <v>0</v>
      </c>
      <c r="T10" s="1">
        <v>0</v>
      </c>
    </row>
    <row r="11" s="1" customFormat="1" spans="1:20">
      <c r="A11" s="1" t="s">
        <v>38</v>
      </c>
      <c r="B11" s="1" t="s">
        <v>39</v>
      </c>
      <c r="C11" s="1">
        <v>0</v>
      </c>
      <c r="D11" s="1">
        <v>0</v>
      </c>
      <c r="E11" s="1">
        <v>7.42</v>
      </c>
      <c r="F11" s="1">
        <v>103</v>
      </c>
      <c r="G11" s="1">
        <v>15</v>
      </c>
      <c r="H11" s="1">
        <v>7</v>
      </c>
      <c r="I11" s="1">
        <v>1</v>
      </c>
      <c r="J11" s="1">
        <f t="shared" si="0"/>
        <v>23</v>
      </c>
      <c r="K11" s="1">
        <v>1</v>
      </c>
      <c r="L11" s="1">
        <v>4</v>
      </c>
      <c r="M11" s="1">
        <v>5</v>
      </c>
      <c r="N11" s="1">
        <v>0</v>
      </c>
      <c r="O11" s="1">
        <v>0</v>
      </c>
      <c r="P11" s="1">
        <f t="shared" si="1"/>
        <v>0</v>
      </c>
      <c r="Q11" s="1">
        <v>25</v>
      </c>
      <c r="R11" s="1">
        <v>32</v>
      </c>
      <c r="S11" s="1">
        <v>20</v>
      </c>
      <c r="T11" s="1">
        <v>23</v>
      </c>
    </row>
    <row r="12" s="1" customFormat="1" spans="1:20">
      <c r="A12" s="1" t="s">
        <v>40</v>
      </c>
      <c r="B12" s="1" t="s">
        <v>41</v>
      </c>
      <c r="C12" s="1">
        <v>0</v>
      </c>
      <c r="D12" s="1">
        <v>0</v>
      </c>
      <c r="E12" s="1">
        <v>10.75</v>
      </c>
      <c r="F12" s="1">
        <v>94</v>
      </c>
      <c r="G12" s="1">
        <v>9</v>
      </c>
      <c r="H12" s="1">
        <v>4</v>
      </c>
      <c r="I12" s="1">
        <v>4</v>
      </c>
      <c r="J12" s="1">
        <f t="shared" si="0"/>
        <v>17</v>
      </c>
      <c r="K12" s="1">
        <v>3</v>
      </c>
      <c r="L12" s="1">
        <v>6</v>
      </c>
      <c r="M12" s="1">
        <v>9</v>
      </c>
      <c r="N12" s="1">
        <v>2</v>
      </c>
      <c r="O12" s="1">
        <v>2</v>
      </c>
      <c r="P12" s="1">
        <f t="shared" si="1"/>
        <v>4</v>
      </c>
      <c r="Q12" s="1">
        <v>24</v>
      </c>
      <c r="R12" s="1">
        <v>44</v>
      </c>
      <c r="S12" s="1">
        <v>26</v>
      </c>
      <c r="T12" s="1">
        <v>38</v>
      </c>
    </row>
    <row r="13" s="1" customFormat="1" spans="1:20">
      <c r="A13" s="1" t="s">
        <v>42</v>
      </c>
      <c r="B13" s="1" t="s">
        <v>43</v>
      </c>
      <c r="C13" s="1">
        <v>0</v>
      </c>
      <c r="D13" s="1">
        <v>0</v>
      </c>
      <c r="E13" s="1">
        <v>10.33</v>
      </c>
      <c r="F13" s="1">
        <v>107</v>
      </c>
      <c r="G13" s="1">
        <v>5</v>
      </c>
      <c r="H13" s="1">
        <v>5</v>
      </c>
      <c r="I13" s="1">
        <v>4</v>
      </c>
      <c r="J13" s="1">
        <f t="shared" si="0"/>
        <v>14</v>
      </c>
      <c r="K13" s="1">
        <v>4</v>
      </c>
      <c r="L13" s="1">
        <v>7</v>
      </c>
      <c r="M13" s="1">
        <v>11</v>
      </c>
      <c r="N13" s="1">
        <v>0</v>
      </c>
      <c r="O13" s="1">
        <v>1</v>
      </c>
      <c r="P13" s="1">
        <f t="shared" si="1"/>
        <v>1</v>
      </c>
      <c r="Q13" s="1">
        <v>30</v>
      </c>
      <c r="R13" s="1">
        <v>-13</v>
      </c>
      <c r="S13" s="1">
        <v>-18</v>
      </c>
      <c r="T13" s="1">
        <v>-11</v>
      </c>
    </row>
    <row r="14" s="1" customFormat="1" spans="1:20">
      <c r="A14" s="1" t="s">
        <v>44</v>
      </c>
      <c r="B14" s="1" t="s">
        <v>45</v>
      </c>
      <c r="C14" s="1">
        <v>0</v>
      </c>
      <c r="D14" s="1">
        <v>0</v>
      </c>
      <c r="E14" s="1">
        <v>6.33</v>
      </c>
      <c r="F14" s="1">
        <v>101</v>
      </c>
      <c r="G14" s="1">
        <v>17</v>
      </c>
      <c r="H14" s="1">
        <v>8</v>
      </c>
      <c r="I14" s="1">
        <v>1</v>
      </c>
      <c r="J14" s="1">
        <f t="shared" si="0"/>
        <v>26</v>
      </c>
      <c r="K14" s="1">
        <v>5</v>
      </c>
      <c r="L14" s="1">
        <v>5</v>
      </c>
      <c r="M14" s="1">
        <v>10</v>
      </c>
      <c r="N14" s="1">
        <v>1</v>
      </c>
      <c r="O14" s="1">
        <v>1</v>
      </c>
      <c r="P14" s="1">
        <f t="shared" si="1"/>
        <v>2</v>
      </c>
      <c r="Q14" s="1">
        <v>30</v>
      </c>
      <c r="R14" s="1">
        <v>31</v>
      </c>
      <c r="S14" s="1">
        <v>14</v>
      </c>
      <c r="T14" s="1">
        <v>22</v>
      </c>
    </row>
    <row r="15" s="1" customFormat="1" spans="1:20">
      <c r="A15" s="1" t="s">
        <v>46</v>
      </c>
      <c r="B15" s="1" t="s">
        <v>47</v>
      </c>
      <c r="C15" s="1">
        <v>0</v>
      </c>
      <c r="D15" s="1">
        <v>0</v>
      </c>
      <c r="E15" s="1">
        <v>7.33</v>
      </c>
      <c r="F15" s="1">
        <v>78</v>
      </c>
      <c r="G15" s="1">
        <v>19</v>
      </c>
      <c r="H15" s="1">
        <v>20</v>
      </c>
      <c r="I15" s="1">
        <v>5</v>
      </c>
      <c r="J15" s="1">
        <f t="shared" si="0"/>
        <v>44</v>
      </c>
      <c r="K15" s="1">
        <v>6</v>
      </c>
      <c r="L15" s="1">
        <v>8</v>
      </c>
      <c r="M15" s="1">
        <v>14</v>
      </c>
      <c r="N15" s="1">
        <v>2</v>
      </c>
      <c r="O15" s="1">
        <v>1</v>
      </c>
      <c r="P15" s="1">
        <f t="shared" si="1"/>
        <v>3</v>
      </c>
      <c r="Q15" s="1">
        <v>33</v>
      </c>
      <c r="R15" s="1">
        <v>45</v>
      </c>
      <c r="S15" s="1">
        <v>19</v>
      </c>
      <c r="T15" s="1">
        <v>36</v>
      </c>
    </row>
    <row r="16" s="1" customFormat="1" spans="1:20">
      <c r="A16" s="1" t="s">
        <v>48</v>
      </c>
      <c r="B16" s="1" t="s">
        <v>49</v>
      </c>
      <c r="C16" s="1">
        <v>0</v>
      </c>
      <c r="D16" s="1">
        <v>0</v>
      </c>
      <c r="E16" s="1">
        <v>10.75</v>
      </c>
      <c r="F16" s="1">
        <v>124</v>
      </c>
      <c r="G16" s="1">
        <v>27</v>
      </c>
      <c r="H16" s="1">
        <v>7</v>
      </c>
      <c r="I16" s="1">
        <v>2</v>
      </c>
      <c r="J16" s="1">
        <f t="shared" si="0"/>
        <v>36</v>
      </c>
      <c r="K16" s="1">
        <v>3</v>
      </c>
      <c r="L16" s="1">
        <v>4</v>
      </c>
      <c r="M16" s="1">
        <v>7</v>
      </c>
      <c r="N16" s="1">
        <v>0</v>
      </c>
      <c r="O16" s="1">
        <v>1</v>
      </c>
      <c r="P16" s="1">
        <f t="shared" si="1"/>
        <v>1</v>
      </c>
      <c r="Q16" s="1">
        <v>29</v>
      </c>
      <c r="R16" s="1">
        <v>-5</v>
      </c>
      <c r="S16" s="1">
        <v>-4</v>
      </c>
      <c r="T16" s="1">
        <v>2</v>
      </c>
    </row>
    <row r="17" s="1" customFormat="1" spans="1:20">
      <c r="A17" s="1" t="s">
        <v>50</v>
      </c>
      <c r="B17" s="1" t="s">
        <v>51</v>
      </c>
      <c r="C17" s="1">
        <v>0</v>
      </c>
      <c r="D17" s="1">
        <v>0</v>
      </c>
      <c r="E17" s="1">
        <v>6.25</v>
      </c>
      <c r="F17" s="1">
        <v>132</v>
      </c>
      <c r="G17" s="1">
        <v>17</v>
      </c>
      <c r="H17" s="1">
        <v>10</v>
      </c>
      <c r="I17" s="1">
        <v>5</v>
      </c>
      <c r="J17" s="1">
        <f t="shared" si="0"/>
        <v>32</v>
      </c>
      <c r="K17" s="1">
        <v>4</v>
      </c>
      <c r="L17" s="1">
        <v>7</v>
      </c>
      <c r="M17" s="1">
        <v>11</v>
      </c>
      <c r="N17" s="1">
        <v>1</v>
      </c>
      <c r="O17" s="1">
        <v>1</v>
      </c>
      <c r="P17" s="1">
        <f t="shared" si="1"/>
        <v>2</v>
      </c>
      <c r="Q17" s="1">
        <v>33</v>
      </c>
      <c r="R17" s="1">
        <v>11</v>
      </c>
      <c r="S17" s="1">
        <v>5</v>
      </c>
      <c r="T17" s="1">
        <v>7</v>
      </c>
    </row>
    <row r="18" s="1" customFormat="1" spans="1:20">
      <c r="A18" s="1" t="s">
        <v>52</v>
      </c>
      <c r="B18" s="1" t="s">
        <v>53</v>
      </c>
      <c r="C18" s="1">
        <v>0</v>
      </c>
      <c r="D18" s="1">
        <v>0</v>
      </c>
      <c r="E18" s="1">
        <v>11</v>
      </c>
      <c r="F18" s="1">
        <v>130</v>
      </c>
      <c r="G18" s="1">
        <v>12</v>
      </c>
      <c r="H18" s="1">
        <v>7</v>
      </c>
      <c r="I18" s="1">
        <v>8</v>
      </c>
      <c r="J18" s="1">
        <f t="shared" ref="J18:J33" si="2">G18+H18+I18</f>
        <v>27</v>
      </c>
      <c r="K18" s="1">
        <v>3</v>
      </c>
      <c r="L18" s="1">
        <v>11</v>
      </c>
      <c r="M18" s="1">
        <v>15</v>
      </c>
      <c r="N18" s="1">
        <v>2</v>
      </c>
      <c r="O18" s="1">
        <v>3</v>
      </c>
      <c r="P18" s="1">
        <f t="shared" ref="P18:P33" si="3">N18+O18</f>
        <v>5</v>
      </c>
      <c r="Q18" s="1">
        <v>30</v>
      </c>
      <c r="R18" s="1">
        <v>0</v>
      </c>
      <c r="S18" s="1">
        <v>0</v>
      </c>
      <c r="T18" s="1">
        <v>0</v>
      </c>
    </row>
    <row r="19" s="1" customFormat="1" spans="1:20">
      <c r="A19" s="1" t="s">
        <v>54</v>
      </c>
      <c r="B19" s="1" t="s">
        <v>55</v>
      </c>
      <c r="C19" s="1">
        <v>0</v>
      </c>
      <c r="D19" s="1">
        <v>0</v>
      </c>
      <c r="E19" s="1">
        <v>10.25</v>
      </c>
      <c r="F19" s="1">
        <v>120</v>
      </c>
      <c r="G19" s="1">
        <v>6</v>
      </c>
      <c r="H19" s="1">
        <v>5</v>
      </c>
      <c r="I19" s="1">
        <v>3</v>
      </c>
      <c r="J19" s="1">
        <f t="shared" si="2"/>
        <v>14</v>
      </c>
      <c r="K19" s="1">
        <v>4</v>
      </c>
      <c r="L19" s="1">
        <v>6</v>
      </c>
      <c r="M19" s="1">
        <v>6</v>
      </c>
      <c r="N19" s="1">
        <v>1</v>
      </c>
      <c r="O19" s="1">
        <v>1</v>
      </c>
      <c r="P19" s="1">
        <f t="shared" si="3"/>
        <v>2</v>
      </c>
      <c r="Q19" s="1">
        <v>21</v>
      </c>
      <c r="R19" s="1">
        <v>0</v>
      </c>
      <c r="S19" s="1">
        <v>0</v>
      </c>
      <c r="T19" s="1">
        <v>0</v>
      </c>
    </row>
    <row r="20" s="1" customFormat="1" spans="1:20">
      <c r="A20" s="1" t="s">
        <v>56</v>
      </c>
      <c r="B20" s="1" t="s">
        <v>57</v>
      </c>
      <c r="C20" s="1">
        <v>0</v>
      </c>
      <c r="D20" s="1">
        <v>0</v>
      </c>
      <c r="E20" s="1">
        <v>7.17</v>
      </c>
      <c r="F20" s="1">
        <v>115</v>
      </c>
      <c r="G20" s="1">
        <v>17</v>
      </c>
      <c r="H20" s="1">
        <v>19</v>
      </c>
      <c r="I20" s="1">
        <v>6</v>
      </c>
      <c r="J20" s="1">
        <f t="shared" si="2"/>
        <v>42</v>
      </c>
      <c r="K20" s="1">
        <v>3</v>
      </c>
      <c r="L20" s="1">
        <v>6</v>
      </c>
      <c r="M20" s="1">
        <v>9</v>
      </c>
      <c r="N20" s="1">
        <v>0</v>
      </c>
      <c r="O20" s="1">
        <v>1</v>
      </c>
      <c r="P20" s="1">
        <f t="shared" si="3"/>
        <v>1</v>
      </c>
      <c r="Q20" s="1">
        <v>30</v>
      </c>
      <c r="R20" s="1">
        <v>20</v>
      </c>
      <c r="S20" s="1">
        <v>11</v>
      </c>
      <c r="T20" s="1">
        <v>17</v>
      </c>
    </row>
    <row r="21" s="1" customFormat="1" spans="1:20">
      <c r="A21" s="1" t="s">
        <v>58</v>
      </c>
      <c r="B21" s="1" t="s">
        <v>59</v>
      </c>
      <c r="C21" s="1">
        <v>0</v>
      </c>
      <c r="D21" s="1">
        <v>0</v>
      </c>
      <c r="E21" s="1">
        <v>14.58</v>
      </c>
      <c r="F21" s="1">
        <v>75</v>
      </c>
      <c r="G21" s="1">
        <v>26</v>
      </c>
      <c r="H21" s="1">
        <v>10</v>
      </c>
      <c r="I21" s="1">
        <v>5</v>
      </c>
      <c r="J21" s="1">
        <f t="shared" si="2"/>
        <v>41</v>
      </c>
      <c r="K21" s="1">
        <v>4</v>
      </c>
      <c r="L21" s="1">
        <v>8</v>
      </c>
      <c r="M21" s="1">
        <v>12</v>
      </c>
      <c r="N21" s="1">
        <v>2</v>
      </c>
      <c r="O21" s="1">
        <v>3</v>
      </c>
      <c r="P21" s="1">
        <f t="shared" si="3"/>
        <v>5</v>
      </c>
      <c r="Q21" s="1">
        <v>28</v>
      </c>
      <c r="R21" s="1">
        <v>-7</v>
      </c>
      <c r="S21" s="1">
        <v>-7</v>
      </c>
      <c r="T21" s="1">
        <v>-2</v>
      </c>
    </row>
    <row r="22" s="1" customFormat="1" spans="1:20">
      <c r="A22" s="1" t="s">
        <v>60</v>
      </c>
      <c r="B22" s="1" t="s">
        <v>61</v>
      </c>
      <c r="C22" s="1">
        <v>0</v>
      </c>
      <c r="D22" s="1">
        <v>0</v>
      </c>
      <c r="E22" s="1">
        <v>10.75</v>
      </c>
      <c r="F22" s="1">
        <v>130</v>
      </c>
      <c r="G22" s="1">
        <v>26</v>
      </c>
      <c r="H22" s="1">
        <v>16</v>
      </c>
      <c r="I22" s="1">
        <v>10</v>
      </c>
      <c r="J22" s="1">
        <f t="shared" si="2"/>
        <v>52</v>
      </c>
      <c r="K22" s="1">
        <v>2</v>
      </c>
      <c r="L22" s="1">
        <v>9</v>
      </c>
      <c r="M22" s="1">
        <v>11</v>
      </c>
      <c r="N22" s="1">
        <v>0</v>
      </c>
      <c r="O22" s="1">
        <v>2</v>
      </c>
      <c r="P22" s="1">
        <f t="shared" si="3"/>
        <v>2</v>
      </c>
      <c r="Q22" s="1">
        <v>33</v>
      </c>
      <c r="R22" s="1">
        <v>-20</v>
      </c>
      <c r="S22" s="1">
        <v>-12</v>
      </c>
      <c r="T22" s="1">
        <v>-12</v>
      </c>
    </row>
    <row r="23" s="1" customFormat="1" spans="1:20">
      <c r="A23" s="1" t="s">
        <v>62</v>
      </c>
      <c r="B23" s="1" t="s">
        <v>63</v>
      </c>
      <c r="C23" s="1">
        <v>0</v>
      </c>
      <c r="D23" s="1">
        <v>0</v>
      </c>
      <c r="E23" s="1">
        <v>10.75</v>
      </c>
      <c r="F23" s="1">
        <v>110</v>
      </c>
      <c r="G23" s="1">
        <v>13</v>
      </c>
      <c r="H23" s="1">
        <v>5</v>
      </c>
      <c r="I23" s="1">
        <v>5</v>
      </c>
      <c r="J23" s="1">
        <f t="shared" si="2"/>
        <v>23</v>
      </c>
      <c r="K23" s="1">
        <v>3</v>
      </c>
      <c r="L23" s="1">
        <v>9</v>
      </c>
      <c r="M23" s="1">
        <v>12</v>
      </c>
      <c r="N23" s="1">
        <v>0</v>
      </c>
      <c r="O23" s="1">
        <v>0</v>
      </c>
      <c r="P23" s="1">
        <f t="shared" si="3"/>
        <v>0</v>
      </c>
      <c r="Q23" s="1">
        <v>22</v>
      </c>
      <c r="R23" s="1">
        <v>33</v>
      </c>
      <c r="S23" s="1">
        <v>18</v>
      </c>
      <c r="T23" s="1">
        <v>26</v>
      </c>
    </row>
    <row r="24" s="1" customFormat="1" spans="1:20">
      <c r="A24" s="1" t="s">
        <v>64</v>
      </c>
      <c r="B24" s="1" t="s">
        <v>65</v>
      </c>
      <c r="C24" s="1">
        <v>0</v>
      </c>
      <c r="D24" s="1">
        <v>0</v>
      </c>
      <c r="E24" s="1">
        <v>6.75</v>
      </c>
      <c r="F24" s="1">
        <v>132</v>
      </c>
      <c r="G24" s="1">
        <v>11</v>
      </c>
      <c r="H24" s="1">
        <v>8</v>
      </c>
      <c r="I24" s="1">
        <v>3</v>
      </c>
      <c r="J24" s="1">
        <f t="shared" si="2"/>
        <v>22</v>
      </c>
      <c r="K24" s="1">
        <v>4</v>
      </c>
      <c r="L24" s="1">
        <v>6</v>
      </c>
      <c r="M24" s="1">
        <v>10</v>
      </c>
      <c r="N24" s="1">
        <v>1</v>
      </c>
      <c r="O24" s="1">
        <v>0</v>
      </c>
      <c r="P24" s="1">
        <f t="shared" si="3"/>
        <v>1</v>
      </c>
      <c r="Q24" s="1">
        <v>34</v>
      </c>
      <c r="R24" s="1">
        <v>0</v>
      </c>
      <c r="S24" s="1">
        <v>0</v>
      </c>
      <c r="T24" s="1">
        <v>0</v>
      </c>
    </row>
    <row r="25" s="1" customFormat="1" spans="1:20">
      <c r="A25" s="1" t="s">
        <v>66</v>
      </c>
      <c r="B25" s="1" t="s">
        <v>67</v>
      </c>
      <c r="C25" s="1">
        <v>0</v>
      </c>
      <c r="D25" s="1">
        <v>0</v>
      </c>
      <c r="E25" s="1">
        <v>13.75</v>
      </c>
      <c r="F25" s="1">
        <v>106</v>
      </c>
      <c r="G25" s="1">
        <v>22</v>
      </c>
      <c r="H25" s="1">
        <v>12</v>
      </c>
      <c r="I25" s="1">
        <v>6</v>
      </c>
      <c r="J25" s="1">
        <f t="shared" si="2"/>
        <v>40</v>
      </c>
      <c r="K25" s="1">
        <v>3</v>
      </c>
      <c r="L25" s="1">
        <v>8</v>
      </c>
      <c r="M25" s="1">
        <v>11</v>
      </c>
      <c r="N25" s="1">
        <v>1</v>
      </c>
      <c r="O25" s="1">
        <v>0</v>
      </c>
      <c r="P25" s="1">
        <f t="shared" si="3"/>
        <v>1</v>
      </c>
      <c r="Q25" s="1">
        <v>21</v>
      </c>
      <c r="R25" s="1">
        <v>-37</v>
      </c>
      <c r="S25" s="1">
        <v>-19</v>
      </c>
      <c r="T25" s="1">
        <v>-35</v>
      </c>
    </row>
    <row r="26" s="1" customFormat="1" spans="1:20">
      <c r="A26" s="1" t="s">
        <v>68</v>
      </c>
      <c r="B26" s="1" t="s">
        <v>69</v>
      </c>
      <c r="C26" s="1">
        <v>0</v>
      </c>
      <c r="D26" s="1">
        <v>0</v>
      </c>
      <c r="E26" s="1">
        <v>6.08</v>
      </c>
      <c r="F26" s="1">
        <v>46</v>
      </c>
      <c r="G26" s="1">
        <v>19</v>
      </c>
      <c r="H26" s="1">
        <v>17</v>
      </c>
      <c r="I26" s="1">
        <v>2</v>
      </c>
      <c r="J26" s="1">
        <f t="shared" si="2"/>
        <v>38</v>
      </c>
      <c r="K26" s="1">
        <v>7</v>
      </c>
      <c r="L26" s="1">
        <v>11</v>
      </c>
      <c r="M26" s="1">
        <v>18</v>
      </c>
      <c r="N26" s="1">
        <v>1</v>
      </c>
      <c r="O26" s="1">
        <v>1</v>
      </c>
      <c r="P26" s="1">
        <f t="shared" si="3"/>
        <v>2</v>
      </c>
      <c r="Q26" s="1">
        <v>31</v>
      </c>
      <c r="R26" s="1">
        <v>-4</v>
      </c>
      <c r="S26" s="1">
        <v>-8</v>
      </c>
      <c r="T26" s="1">
        <v>-1</v>
      </c>
    </row>
    <row r="27" s="1" customFormat="1" spans="1:20">
      <c r="A27" s="1" t="s">
        <v>70</v>
      </c>
      <c r="B27" s="1" t="s">
        <v>71</v>
      </c>
      <c r="C27" s="1">
        <v>0</v>
      </c>
      <c r="D27" s="1">
        <v>0</v>
      </c>
      <c r="E27" s="1">
        <v>6.92</v>
      </c>
      <c r="F27" s="1">
        <v>75</v>
      </c>
      <c r="G27" s="1">
        <v>23</v>
      </c>
      <c r="H27" s="1">
        <v>11</v>
      </c>
      <c r="I27" s="1">
        <v>6</v>
      </c>
      <c r="J27" s="1">
        <f t="shared" si="2"/>
        <v>40</v>
      </c>
      <c r="K27" s="1">
        <v>9</v>
      </c>
      <c r="L27" s="1">
        <v>12</v>
      </c>
      <c r="M27" s="1">
        <v>21</v>
      </c>
      <c r="N27" s="1">
        <v>3</v>
      </c>
      <c r="O27" s="1">
        <v>5</v>
      </c>
      <c r="P27" s="1">
        <f t="shared" si="3"/>
        <v>8</v>
      </c>
      <c r="Q27" s="1">
        <v>31</v>
      </c>
      <c r="R27" s="1">
        <v>-17</v>
      </c>
      <c r="S27" s="1">
        <v>-17</v>
      </c>
      <c r="T27" s="1">
        <v>-14</v>
      </c>
    </row>
    <row r="28" s="1" customFormat="1" spans="1:20">
      <c r="A28" s="1" t="s">
        <v>72</v>
      </c>
      <c r="B28" s="1" t="s">
        <v>73</v>
      </c>
      <c r="C28" s="1">
        <v>0</v>
      </c>
      <c r="D28" s="1">
        <v>0</v>
      </c>
      <c r="E28" s="1">
        <v>12.83</v>
      </c>
      <c r="F28" s="1">
        <v>122</v>
      </c>
      <c r="G28" s="1">
        <v>15</v>
      </c>
      <c r="H28" s="1">
        <v>7</v>
      </c>
      <c r="I28" s="1">
        <v>2</v>
      </c>
      <c r="J28" s="1">
        <f t="shared" si="2"/>
        <v>24</v>
      </c>
      <c r="K28" s="1">
        <v>8</v>
      </c>
      <c r="L28" s="1">
        <v>6</v>
      </c>
      <c r="M28" s="1">
        <v>14</v>
      </c>
      <c r="N28" s="1">
        <v>0</v>
      </c>
      <c r="O28" s="1">
        <v>2</v>
      </c>
      <c r="P28" s="1">
        <f t="shared" si="3"/>
        <v>2</v>
      </c>
      <c r="Q28" s="1">
        <v>31</v>
      </c>
      <c r="R28" s="1">
        <v>17</v>
      </c>
      <c r="S28" s="1">
        <v>4</v>
      </c>
      <c r="T28" s="1">
        <v>17</v>
      </c>
    </row>
    <row r="29" s="1" customFormat="1" spans="1:20">
      <c r="A29" s="1" t="s">
        <v>74</v>
      </c>
      <c r="B29" s="1" t="s">
        <v>75</v>
      </c>
      <c r="C29" s="1">
        <v>0</v>
      </c>
      <c r="D29" s="1">
        <v>0</v>
      </c>
      <c r="E29" s="1">
        <v>6.25</v>
      </c>
      <c r="F29" s="1">
        <v>89</v>
      </c>
      <c r="G29" s="1">
        <v>14</v>
      </c>
      <c r="H29" s="1">
        <v>8</v>
      </c>
      <c r="I29" s="1">
        <v>3</v>
      </c>
      <c r="J29" s="1">
        <f t="shared" si="2"/>
        <v>25</v>
      </c>
      <c r="K29" s="1">
        <v>6</v>
      </c>
      <c r="L29" s="1">
        <v>6</v>
      </c>
      <c r="M29" s="1">
        <v>12</v>
      </c>
      <c r="N29" s="1">
        <v>1</v>
      </c>
      <c r="O29" s="1">
        <v>2</v>
      </c>
      <c r="P29" s="1">
        <f t="shared" si="3"/>
        <v>3</v>
      </c>
      <c r="Q29" s="1">
        <v>30</v>
      </c>
      <c r="R29" s="1">
        <v>29</v>
      </c>
      <c r="S29" s="1">
        <v>20</v>
      </c>
      <c r="T29" s="1">
        <v>22</v>
      </c>
    </row>
    <row r="30" s="1" customFormat="1" spans="1:20">
      <c r="A30" s="1" t="s">
        <v>76</v>
      </c>
      <c r="B30" s="1" t="s">
        <v>77</v>
      </c>
      <c r="C30" s="1">
        <v>0</v>
      </c>
      <c r="D30" s="1">
        <v>0</v>
      </c>
      <c r="E30" s="1">
        <v>11.75</v>
      </c>
      <c r="F30" s="1">
        <v>100</v>
      </c>
      <c r="G30" s="1">
        <v>9</v>
      </c>
      <c r="H30" s="1">
        <v>4</v>
      </c>
      <c r="I30" s="1">
        <v>4</v>
      </c>
      <c r="J30" s="1">
        <f t="shared" si="2"/>
        <v>17</v>
      </c>
      <c r="K30" s="1">
        <v>3</v>
      </c>
      <c r="L30" s="1">
        <v>6</v>
      </c>
      <c r="M30" s="1">
        <v>9</v>
      </c>
      <c r="N30" s="1">
        <v>0</v>
      </c>
      <c r="O30" s="1">
        <v>1</v>
      </c>
      <c r="P30" s="1">
        <f t="shared" si="3"/>
        <v>1</v>
      </c>
      <c r="Q30" s="1">
        <v>30</v>
      </c>
      <c r="R30" s="1">
        <v>-12</v>
      </c>
      <c r="S30" s="1">
        <v>3</v>
      </c>
      <c r="T30" s="1">
        <v>1</v>
      </c>
    </row>
    <row r="31" s="1" customFormat="1" spans="1:20">
      <c r="A31" s="1" t="s">
        <v>78</v>
      </c>
      <c r="B31" s="1" t="s">
        <v>79</v>
      </c>
      <c r="C31" s="1">
        <v>0</v>
      </c>
      <c r="D31" s="1">
        <v>0</v>
      </c>
      <c r="E31" s="1">
        <v>6.33</v>
      </c>
      <c r="F31" s="1">
        <v>132</v>
      </c>
      <c r="G31" s="1">
        <v>16</v>
      </c>
      <c r="H31" s="1">
        <v>6</v>
      </c>
      <c r="I31" s="1">
        <v>4</v>
      </c>
      <c r="J31" s="1">
        <f t="shared" si="2"/>
        <v>26</v>
      </c>
      <c r="K31" s="1">
        <v>3</v>
      </c>
      <c r="L31" s="1">
        <v>8</v>
      </c>
      <c r="M31" s="1">
        <v>11</v>
      </c>
      <c r="N31" s="1">
        <v>1</v>
      </c>
      <c r="O31" s="1">
        <v>1</v>
      </c>
      <c r="P31" s="1">
        <f t="shared" si="3"/>
        <v>2</v>
      </c>
      <c r="Q31" s="1">
        <v>35</v>
      </c>
      <c r="R31" s="1">
        <v>16</v>
      </c>
      <c r="S31" s="1">
        <v>8</v>
      </c>
      <c r="T31" s="1">
        <v>16</v>
      </c>
    </row>
    <row r="32" s="2" customFormat="1" spans="1:20">
      <c r="A32" s="2" t="s">
        <v>80</v>
      </c>
      <c r="B32" s="2" t="s">
        <v>81</v>
      </c>
      <c r="C32" s="2">
        <v>0</v>
      </c>
      <c r="D32" s="2">
        <v>0</v>
      </c>
      <c r="E32" s="2">
        <v>13.08</v>
      </c>
      <c r="F32" s="2">
        <v>113</v>
      </c>
      <c r="G32" s="2">
        <v>14</v>
      </c>
      <c r="H32" s="2">
        <v>3</v>
      </c>
      <c r="I32" s="2">
        <v>3</v>
      </c>
      <c r="J32" s="2">
        <f t="shared" si="2"/>
        <v>20</v>
      </c>
      <c r="K32" s="2">
        <v>3</v>
      </c>
      <c r="L32" s="2">
        <v>6</v>
      </c>
      <c r="M32" s="2">
        <v>9</v>
      </c>
      <c r="N32" s="2">
        <v>0</v>
      </c>
      <c r="O32" s="2">
        <v>2</v>
      </c>
      <c r="P32" s="2">
        <f t="shared" si="3"/>
        <v>2</v>
      </c>
      <c r="Q32" s="2">
        <v>34</v>
      </c>
      <c r="R32" s="2">
        <v>13</v>
      </c>
      <c r="S32" s="2">
        <v>1</v>
      </c>
      <c r="T32" s="2">
        <v>17</v>
      </c>
    </row>
    <row r="33" s="2" customFormat="1" spans="1:20">
      <c r="A33" s="2" t="s">
        <v>82</v>
      </c>
      <c r="B33" s="3" t="s">
        <v>83</v>
      </c>
      <c r="C33" s="2">
        <v>0</v>
      </c>
      <c r="D33" s="2">
        <v>0</v>
      </c>
      <c r="E33" s="2">
        <v>7.92</v>
      </c>
      <c r="F33" s="2">
        <v>132</v>
      </c>
      <c r="G33" s="2">
        <v>13</v>
      </c>
      <c r="H33" s="2">
        <v>6</v>
      </c>
      <c r="I33" s="2">
        <v>3</v>
      </c>
      <c r="J33" s="2">
        <v>22</v>
      </c>
      <c r="K33" s="2">
        <v>1</v>
      </c>
      <c r="L33" s="2">
        <v>7</v>
      </c>
      <c r="M33" s="2">
        <v>8</v>
      </c>
      <c r="N33" s="2">
        <v>1</v>
      </c>
      <c r="O33" s="2">
        <v>0</v>
      </c>
      <c r="P33" s="2">
        <v>1</v>
      </c>
      <c r="Q33" s="2">
        <v>22</v>
      </c>
      <c r="R33" s="2">
        <v>25</v>
      </c>
      <c r="S33" s="2">
        <v>19</v>
      </c>
      <c r="T33" s="2">
        <v>4</v>
      </c>
    </row>
    <row r="34" s="2" customFormat="1" spans="1:20">
      <c r="A34" s="2" t="s">
        <v>84</v>
      </c>
      <c r="B34" s="3" t="s">
        <v>85</v>
      </c>
      <c r="C34" s="2">
        <v>0</v>
      </c>
      <c r="D34" s="2">
        <v>0</v>
      </c>
      <c r="E34" s="2">
        <v>6.33</v>
      </c>
      <c r="F34" s="2">
        <v>84</v>
      </c>
      <c r="G34" s="2">
        <v>19</v>
      </c>
      <c r="H34" s="2">
        <v>2</v>
      </c>
      <c r="I34" s="2">
        <v>1</v>
      </c>
      <c r="J34" s="2">
        <v>22</v>
      </c>
      <c r="K34" s="2">
        <v>5</v>
      </c>
      <c r="L34" s="2">
        <v>8</v>
      </c>
      <c r="M34" s="2">
        <v>13</v>
      </c>
      <c r="N34" s="2">
        <v>2</v>
      </c>
      <c r="O34" s="2">
        <v>2</v>
      </c>
      <c r="P34" s="2">
        <v>4</v>
      </c>
      <c r="Q34" s="2">
        <v>30</v>
      </c>
      <c r="R34" s="2">
        <v>-1</v>
      </c>
      <c r="S34" s="2">
        <v>-8</v>
      </c>
      <c r="T34" s="2">
        <v>8</v>
      </c>
    </row>
    <row r="35" s="2" customFormat="1" spans="1:20">
      <c r="A35" s="2" t="s">
        <v>86</v>
      </c>
      <c r="B35" s="3" t="s">
        <v>87</v>
      </c>
      <c r="C35" s="2">
        <v>0</v>
      </c>
      <c r="D35" s="2">
        <v>0</v>
      </c>
      <c r="E35" s="2">
        <v>6.75</v>
      </c>
      <c r="F35" s="2">
        <v>85</v>
      </c>
      <c r="G35" s="2">
        <v>23</v>
      </c>
      <c r="H35" s="2">
        <v>13</v>
      </c>
      <c r="I35" s="2">
        <v>7</v>
      </c>
      <c r="J35" s="2">
        <v>43</v>
      </c>
      <c r="K35" s="2">
        <v>4</v>
      </c>
      <c r="L35" s="2">
        <v>9</v>
      </c>
      <c r="M35" s="2">
        <v>13</v>
      </c>
      <c r="N35" s="2">
        <v>1</v>
      </c>
      <c r="O35" s="2">
        <v>1</v>
      </c>
      <c r="P35" s="2">
        <v>2</v>
      </c>
      <c r="Q35" s="2">
        <v>36</v>
      </c>
      <c r="R35" s="2">
        <v>16</v>
      </c>
      <c r="S35" s="2">
        <v>-1</v>
      </c>
      <c r="T35" s="2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yunya</dc:creator>
  <cp:lastModifiedBy>周梓云</cp:lastModifiedBy>
  <dcterms:created xsi:type="dcterms:W3CDTF">2025-09-10T02:18:00Z</dcterms:created>
  <dcterms:modified xsi:type="dcterms:W3CDTF">2025-09-09T18:27:25Z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11508985A0859D78FCFEBF68A05424C0_41</vt:lpwstr>
  </property>
  <property fmtid="{D5CDD505-2E9C-101B-9397-08002B2CF9AE}" pid="3" name="KSOProductBuildVer">
    <vt:lpwstr>2052-7.4.1.8983</vt:lpwstr>
  </property>
</Properties>
</file>